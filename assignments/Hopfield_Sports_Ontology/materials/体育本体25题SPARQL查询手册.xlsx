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4f7ee0613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查询总览" sheetId="1" r:id="R9263b09f8cec4106"/>
    <x:sheet xmlns:r="http://schemas.openxmlformats.org/officeDocument/2006/relationships" name="特殊问题查询" sheetId="2" r:id="R5540c5be70694149"/>
    <x:sheet xmlns:r="http://schemas.openxmlformats.org/officeDocument/2006/relationships" name="一般问题查询" sheetId="3" r:id="Rc775c0073ef1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b/>
      <x:sz val="10"/>
      <x:color rgb="FF1E6B2E"/>
      <x:name val="Arial"/>
    </x:font>
    <x:font>
      <x:b/>
      <x:sz val="10"/>
      <x:color rgb="FF2E75B6"/>
      <x:name val="Arial"/>
    </x:font>
    <x:font>
      <x:sz val="11"/>
      <x:name val="Arial"/>
    </x:font>
    <x:font>
      <x:sz val="9"/>
      <x:color rgb="FF1F4E78"/>
      <x:name val="Arial"/>
    </x:font>
    <x:font>
      <x:sz val="9"/>
      <x:color rgb="FF111827"/>
      <x:name val="Consolas"/>
    </x:font>
    <x:font>
      <x:b/>
      <x:sz val="10"/>
      <x:color rgb="FF2E7D32"/>
      <x:name val="Arial"/>
    </x:font>
    <x:font>
      <x:i/>
      <x:sz val="9"/>
      <x:color rgb="FF6B728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3F5F7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medium">
        <x:color rgb="FF2E75B6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horizontal="center" vertical="top" wrapText="1"/>
    </x:xf>
    <x:xf numFmtId="0" fontId="10" fillId="7" borderId="3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horizontal="center" vertical="center" wrapText="1"/>
    </x:xf>
    <x:xf numFmtId="0" fontId="12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E6B2E"/>
      </x:font>
      <x:fill>
        <x:patternFill patternType="solid">
          <x:bgColor rgb="FFE2F0D9"/>
        </x:patternFill>
      </x:fill>
    </x:dxf>
    <x:dxf>
      <x:font>
        <x:b/>
        <x:color rgb="FF1E6B2E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7133837a94a07" /><Relationship Type="http://schemas.openxmlformats.org/officeDocument/2006/relationships/theme" Target="/xl/theme/theme1.xml" Id="R7d021377e2224eea" /><Relationship Type="http://schemas.openxmlformats.org/officeDocument/2006/relationships/sharedStrings" Target="/xl/sharedStrings.xml" Id="R42b5e143ff724de6" /><Relationship Type="http://schemas.openxmlformats.org/officeDocument/2006/relationships/worksheet" Target="/xl/worksheets/sheet1.xml" Id="R9263b09f8cec4106" /><Relationship Type="http://schemas.openxmlformats.org/officeDocument/2006/relationships/worksheet" Target="/xl/worksheets/sheet2.xml" Id="R5540c5be70694149" /><Relationship Type="http://schemas.openxmlformats.org/officeDocument/2006/relationships/worksheet" Target="/xl/worksheets/sheet3.xml" Id="Rc775c0073ef14226" /></Relationships>
</file>

<file path=xl/tables/table1.xml><?xml version="1.0" encoding="utf-8"?>
<x:table xmlns:x="http://schemas.openxmlformats.org/spreadsheetml/2006/main" id="1" name="SpecificQuestionsTable" displayName="SpecificQuestionsTable" ref="A5:K20" headerRowCount="1" totalsRowCount="0" totalsRowShown="0">
  <x:tableColumns count="11">
    <x:tableColumn id="1" name="编号"/>
    <x:tableColumn id="2" name="主题"/>
    <x:tableColumn id="3" name="问题（中文）"/>
    <x:tableColumn id="4" name="Question (English)"/>
    <x:tableColumn id="5" name="参数 / 示例"/>
    <x:tableColumn id="6" name="查询方式"/>
    <x:tableColumn id="7" name="SPARQL 查询"/>
    <x:tableColumn id="8" name="测试状态"/>
    <x:tableColumn id="9" name="实测结果"/>
    <x:tableColumn id="10" name="说明"/>
    <x:tableColumn id="11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eralQuestionsTable" displayName="GeneralQuestionsTable" ref="A5:K15" headerRowCount="1" totalsRowCount="0" totalsRowShown="0">
  <x:tableColumns count="11">
    <x:tableColumn id="1" name="编号"/>
    <x:tableColumn id="2" name="主题"/>
    <x:tableColumn id="3" name="问题（中文）"/>
    <x:tableColumn id="4" name="Question (English)"/>
    <x:tableColumn id="5" name="参数 / 示例"/>
    <x:tableColumn id="6" name="查询方式"/>
    <x:tableColumn id="7" name="SPARQL 查询"/>
    <x:tableColumn id="8" name="测试状态"/>
    <x:tableColumn id="9" name="实测结果"/>
    <x:tableColumn id="10" name="说明"/>
    <x:tableColumn id="11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577f5f2a41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c864de6ad241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3" hidden="0" customWidth="1"/>
    <x:col min="3" max="3" width="14" hidden="0" customWidth="1"/>
    <x:col min="4" max="4" width="24" hidden="0" customWidth="1"/>
  </x:cols>
  <x:sheetData>
    <x:row r="2" ht="25" customHeight="1">
      <x:c r="A2" s="3" t="str">
        <x:v>体育本体 25 个问题查询手册</x:v>
      </x:c>
      <x:c r="B2" s="3"/>
      <x:c r="C2" s="3"/>
      <x:c r="D2" s="3"/>
    </x:row>
    <x:row r="3" ht="20" customHeight="1">
      <x:c r="A3" s="5" t="str">
        <x:v>SPARQL 查询库 | 本体版本 3.0.0 | 测试日期 2026-10-29</x:v>
      </x:c>
      <x:c r="B3" s="5"/>
      <x:c r="C3" s="5"/>
      <x:c r="D3" s="5"/>
    </x:row>
    <x:row r="4">
      <x:c r="A4" s="6"/>
      <x:c r="B4" s="6"/>
      <x:c r="C4" s="6"/>
      <x:c r="D4" s="6"/>
    </x:row>
    <x:row r="6">
      <x:c r="A6" s="9" t="str">
        <x:v>项目</x:v>
      </x:c>
      <x:c r="B6" s="9" t="str">
        <x:v>内容</x:v>
      </x:c>
      <x:c r="C6" s="9" t="str"/>
      <x:c r="D6" s="9" t="str"/>
    </x:row>
    <x:row r="7">
      <x:c r="A7" s="32" t="str">
        <x:v>本体版本</x:v>
      </x:c>
      <x:c r="B7" s="33" t="str">
        <x:v>3.0.0</x:v>
      </x:c>
      <x:c r="C7" s="32" t="str"/>
      <x:c r="D7" s="32" t="str"/>
    </x:row>
    <x:row r="8">
      <x:c r="A8" s="32" t="str">
        <x:v>本体文件</x:v>
      </x:c>
      <x:c r="B8" s="33" t="str">
        <x:v>Hopfield_Sports_Ontology_20261029_v3.0_all_questions.owl</x:v>
      </x:c>
      <x:c r="C8" s="32" t="str"/>
      <x:c r="D8" s="32" t="str"/>
    </x:row>
    <x:row r="9">
      <x:c r="A9" s="32" t="str">
        <x:v>领域命名空间</x:v>
      </x:c>
      <x:c r="B9" s="33" t="str">
        <x:v>urn:hopfield:sports:domain#</x:v>
      </x:c>
      <x:c r="C9" s="32" t="str"/>
      <x:c r="D9" s="32" t="str"/>
    </x:row>
    <x:row r="10">
      <x:c r="A10" s="32" t="str">
        <x:v>应用命名空间</x:v>
      </x:c>
      <x:c r="B10" s="33" t="str">
        <x:v>urn:hopfield:sports:application#</x:v>
      </x:c>
      <x:c r="C10" s="32" t="str"/>
      <x:c r="D10" s="32" t="str"/>
    </x:row>
    <x:row r="11">
      <x:c r="A11" s="32" t="str">
        <x:v>查询语言</x:v>
      </x:c>
      <x:c r="B11" s="33" t="str">
        <x:v>SPARQL 1.1</x:v>
      </x:c>
      <x:c r="C11" s="32" t="str"/>
      <x:c r="D11" s="32" t="str"/>
    </x:row>
    <x:row r="12">
      <x:c r="A12" s="32"/>
      <x:c r="B12" s="32"/>
      <x:c r="C12" s="32"/>
      <x:c r="D12" s="32"/>
    </x:row>
    <x:row r="13">
      <x:c r="A13" s="20" t="str">
        <x:v>查询覆盖</x:v>
      </x:c>
      <x:c r="B13" s="20" t="str">
        <x:v>数量</x:v>
      </x:c>
      <x:c r="C13" s="20" t="str">
        <x:v>状态</x:v>
      </x:c>
      <x:c r="D13" s="20" t="str">
        <x:v>说明</x:v>
      </x:c>
    </x:row>
    <x:row r="14" ht="24" customHeight="1">
      <x:c r="A14" s="21" t="str">
        <x:v>特殊问题</x:v>
      </x:c>
      <x:c r="B14" s="22" t="n">
        <x:f>COUNTA('特殊问题查询'!A6:A20)</x:f>
        <x:v>15</x:v>
      </x:c>
      <x:c r="C14" s="23" t="str">
        <x:v>通过</x:v>
      </x:c>
      <x:c r="D14" s="21" t="str">
        <x:v>15 / 15</x:v>
      </x:c>
    </x:row>
    <x:row r="15" ht="24" customHeight="1">
      <x:c r="A15" s="21" t="str">
        <x:v>一般问题</x:v>
      </x:c>
      <x:c r="B15" s="22" t="n">
        <x:f>COUNTA('一般问题查询'!A6:A15)</x:f>
        <x:v>10</x:v>
      </x:c>
      <x:c r="C15" s="23" t="str">
        <x:v>通过</x:v>
      </x:c>
      <x:c r="D15" s="21" t="str">
        <x:v>10 / 10</x:v>
      </x:c>
    </x:row>
    <x:row r="16" ht="24" customHeight="1">
      <x:c r="A16" s="21" t="str">
        <x:v>合计</x:v>
      </x:c>
      <x:c r="B16" s="22" t="n">
        <x:f>SUM(B14:B15)</x:f>
        <x:v>25</x:v>
      </x:c>
      <x:c r="C16" s="23" t="str">
        <x:v>通过</x:v>
      </x:c>
      <x:c r="D16" s="21" t="str">
        <x:v>25 / 25</x:v>
      </x:c>
    </x:row>
    <x:row r="17">
      <x:c r="A17" s="32"/>
      <x:c r="B17" s="32"/>
      <x:c r="C17" s="32"/>
      <x:c r="D17" s="32"/>
    </x:row>
    <x:row r="18">
      <x:c r="A18" s="25" t="str">
        <x:v>使用方法</x:v>
      </x:c>
      <x:c r="B18" s="25" t="str"/>
      <x:c r="C18" s="25" t="str"/>
      <x:c r="D18" s="25" t="str"/>
    </x:row>
    <x:row r="19" ht="34" customHeight="1">
      <x:c r="A19" s="29" t="str">
        <x:v>1</x:v>
      </x:c>
      <x:c r="B19" s="34" t="str">
        <x:v>在 Protégé、Jena ARQ 或其他 SPARQL 1.1 工具中打开 v3.0 本体。</x:v>
      </x:c>
      <x:c r="C19" s="34" t="str"/>
      <x:c r="D19" s="34" t="str"/>
    </x:row>
    <x:row r="20" ht="34" customHeight="1">
      <x:c r="A20" s="29" t="str">
        <x:v>2</x:v>
      </x:c>
      <x:c r="B20" s="34" t="str">
        <x:v>选择对应问题页签，在“SPARQL 查询”列复制完整语句。</x:v>
      </x:c>
      <x:c r="C20" s="34" t="str"/>
      <x:c r="D20" s="34" t="str"/>
    </x:row>
    <x:row r="21" ht="34" customHeight="1">
      <x:c r="A21" s="29" t="str">
        <x:v>3</x:v>
      </x:c>
      <x:c r="B21" s="34" t="str">
        <x:v>参数化查询使用 VALUES 内置示例；替换其中的实体 IRI 即可查询其他对象。</x:v>
      </x:c>
      <x:c r="C21" s="34" t="str"/>
      <x:c r="D21" s="34" t="str"/>
    </x:row>
    <x:row r="22" ht="34" customHeight="1">
      <x:c r="A22" s="29" t="str">
        <x:v>4</x:v>
      </x:c>
      <x:c r="B22" s="34" t="str">
        <x:v>S15 与 S13 还应配合 SHACL 校验和 OWL 推理器运行。</x:v>
      </x:c>
      <x:c r="C22" s="34" t="str"/>
      <x:c r="D22" s="34" t="str"/>
    </x:row>
    <x:row r="23" ht="34" customHeight="1">
      <x:c r="A23" s="29" t="str">
        <x:v>5</x:v>
      </x:c>
      <x:c r="B23" s="34" t="str">
        <x:v>空结果可能表示“没有冲突”，也可能表示“该字段尚未录入”；请结合说明列判断。</x:v>
      </x:c>
      <x:c r="C23" s="34" t="str"/>
      <x:c r="D23" s="34" t="str"/>
    </x:row>
    <x:row r="24">
      <x:c r="A24" s="32"/>
      <x:c r="B24" s="32"/>
      <x:c r="C24" s="32"/>
      <x:c r="D24" s="32"/>
    </x:row>
    <x:row r="25">
      <x:c r="A25" s="25" t="str">
        <x:v>验证与来源</x:v>
      </x:c>
      <x:c r="B25" s="25" t="str"/>
      <x:c r="C25" s="25" t="str"/>
      <x:c r="D25" s="25" t="str"/>
    </x:row>
    <x:row r="26" ht="28" customHeight="1">
      <x:c r="A26" s="34" t="str">
        <x:v>RDF/XML</x:v>
      </x:c>
      <x:c r="B26" s="34" t="str">
        <x:v>通过</x:v>
      </x:c>
      <x:c r="C26" s="35" t="str"/>
      <x:c r="D26" s="35" t="str"/>
    </x:row>
    <x:row r="27" ht="28" customHeight="1">
      <x:c r="A27" s="34" t="str">
        <x:v>SHACL</x:v>
      </x:c>
      <x:c r="B27" s="34" t="str">
        <x:v>Conforms</x:v>
      </x:c>
      <x:c r="C27" s="35" t="str"/>
      <x:c r="D27" s="35" t="str"/>
    </x:row>
    <x:row r="28" ht="28" customHeight="1">
      <x:c r="A28" s="34" t="str">
        <x:v>OWL 规则校验</x:v>
      </x:c>
      <x:c r="B28" s="34" t="str">
        <x:v>RDFS / OWL Micro / OWL Mini 均无报告</x:v>
      </x:c>
      <x:c r="C28" s="35" t="str"/>
      <x:c r="D28" s="35" t="str"/>
    </x:row>
    <x:row r="29" ht="28" customHeight="1">
      <x:c r="A29" s="34" t="str">
        <x:v>特殊问题来源</x:v>
      </x:c>
      <x:c r="B29" s="34" t="str">
        <x:v>Sports_Ontology_15_Specific_QA.xlsx，题号 1–15</x:v>
      </x:c>
      <x:c r="C29" s="35" t="str"/>
      <x:c r="D29" s="35" t="str"/>
    </x:row>
    <x:row r="30" ht="28" customHeight="1">
      <x:c r="A30" s="34" t="str">
        <x:v>一般问题来源</x:v>
      </x:c>
      <x:c r="B30" s="34" t="str">
        <x:v>Sports Ontology一般问题.xlsx，题号 1–10</x:v>
      </x:c>
      <x:c r="C30" s="35" t="str"/>
      <x:c r="D30" s="3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42" hidden="0" customWidth="1"/>
    <x:col min="5" max="5" width="24" hidden="0" customWidth="1"/>
    <x:col min="6" max="6" width="22" hidden="0" customWidth="1"/>
    <x:col min="7" max="7" width="100" hidden="0" customWidth="1"/>
    <x:col min="8" max="8" width="11" hidden="0" customWidth="1"/>
    <x:col min="9" max="9" width="38" hidden="0" customWidth="1"/>
    <x:col min="10" max="10" width="38" hidden="0" customWidth="1"/>
    <x:col min="11" max="11" width="25" hidden="0" customWidth="1"/>
  </x:cols>
  <x:sheetData>
    <x:row r="2" ht="25" customHeight="1">
      <x:c r="A2" s="3" t="str">
        <x:v>15 个特殊问题查询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0" customHeight="1">
      <x:c r="A3" s="5" t="str">
        <x:v>全部查询已在 v3.0 本体中实际执行；第 7 列为可直接复制的完整 SPARQL。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30" customHeight="1">
      <x:c r="A5" s="54" t="str">
        <x:v>编号</x:v>
      </x:c>
      <x:c r="B5" s="54" t="str">
        <x:v>主题</x:v>
      </x:c>
      <x:c r="C5" s="54" t="str">
        <x:v>问题（中文）</x:v>
      </x:c>
      <x:c r="D5" s="54" t="str">
        <x:v>Question (English)</x:v>
      </x:c>
      <x:c r="E5" s="54" t="str">
        <x:v>参数 / 示例</x:v>
      </x:c>
      <x:c r="F5" s="54" t="str">
        <x:v>查询方式</x:v>
      </x:c>
      <x:c r="G5" s="54" t="str">
        <x:v>SPARQL 查询</x:v>
      </x:c>
      <x:c r="H5" s="54" t="str">
        <x:v>测试状态</x:v>
      </x:c>
      <x:c r="I5" s="54" t="str">
        <x:v>实测结果</x:v>
      </x:c>
      <x:c r="J5" s="54" t="str">
        <x:v>说明</x:v>
      </x:c>
      <x:c r="K5" s="54" t="str">
        <x:v>来源</x:v>
      </x:c>
    </x:row>
    <x:row r="6" ht="156" customHeight="1">
      <x:c r="A6" s="55" t="str">
        <x:v>S01</x:v>
      </x:c>
      <x:c r="B6" s="56" t="str">
        <x:v>Athletes / 运动员</x:v>
      </x:c>
      <x:c r="C6" s="56" t="str">
        <x:v>哪些运动员参加篮球运动？</x:v>
      </x:c>
      <x:c r="D6" s="56" t="str">
        <x:v>Which athletes compete in basketball?</x:v>
      </x:c>
      <x:c r="E6" s="56" t="str">
        <x:v>示例：Basketball</x:v>
      </x:c>
      <x:c r="F6" s="57" t="str">
        <x:v>SPARQL SELECT</x:v>
      </x:c>
      <x:c r="G6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?athlete ?name
      WHERE {
        ?athlete hs:participatesIn hs:Basketball ;
                 rdfs:label ?name .
      }
      ORDER BY ?name</x:v>
      </x:c>
      <x:c r="H6" s="59" t="str">
        <x:v>通过</x:v>
      </x:c>
      <x:c r="I6" s="56" t="str">
        <x:v>6 名：Anthony Edwards、Giannis Antetokounmpo、Kevin Durant、LeBron James、Stephen Curry、Victor Wembanyama</x:v>
      </x:c>
      <x:c r="J6" s="56" t="str">
        <x:v>替换 hs:Basketball 可查询其他运动项目的运动员。</x:v>
      </x:c>
      <x:c r="K6" s="60" t="str">
        <x:v>特殊问题表 C2</x:v>
      </x:c>
    </x:row>
    <x:row r="7" ht="169" customHeight="1">
      <x:c r="A7" s="55" t="str">
        <x:v>S02</x:v>
      </x:c>
      <x:c r="B7" s="56" t="str">
        <x:v>Athletes / 运动员</x:v>
      </x:c>
      <x:c r="C7" s="56" t="str">
        <x:v>某位运动员参加什么运动项目？</x:v>
      </x:c>
      <x:c r="D7" s="56" t="str">
        <x:v>Which sport does a particular athlete participate in?</x:v>
      </x:c>
      <x:c r="E7" s="56" t="str">
        <x:v>示例：Lionel Messi</x:v>
      </x:c>
      <x:c r="F7" s="57" t="str">
        <x:v>SPARQL SELECT</x:v>
      </x:c>
      <x:c r="G7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?athleteName ?sport ?sportName
      WHERE {
        VALUES ?athlete { hs:LionelMessi }
        ?athlete hs:participatesIn ?sport ;
                 rdfs:label ?athleteName .
        OPTIONAL { ?sport rdfs:label ?sportName }
      }</x:v>
      </x:c>
      <x:c r="H7" s="59" t="str">
        <x:v>通过</x:v>
      </x:c>
      <x:c r="I7" s="56" t="str">
        <x:v>Football</x:v>
      </x:c>
      <x:c r="J7" s="56" t="str">
        <x:v>修改 VALUES 中的运动员 IRI 即可查询其他运动员。</x:v>
      </x:c>
      <x:c r="K7" s="60" t="str">
        <x:v>特殊问题表 C3</x:v>
      </x:c>
    </x:row>
    <x:row r="8" ht="221" customHeight="1">
      <x:c r="A8" s="55" t="str">
        <x:v>S03</x:v>
      </x:c>
      <x:c r="B8" s="56" t="str">
        <x:v>Teams / 运动队</x:v>
      </x:c>
      <x:c r="C8" s="56" t="str">
        <x:v>哪些运动员属于某一支指定的队伍？</x:v>
      </x:c>
      <x:c r="D8" s="56" t="str">
        <x:v>Which athletes belong to a specific team?</x:v>
      </x:c>
      <x:c r="E8" s="56" t="str">
        <x:v>示例：ArgentinaNationalTeam</x:v>
      </x:c>
      <x:c r="F8" s="57" t="str">
        <x:v>SPARQL SELECT</x:v>
      </x:c>
      <x:c r="G8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?athlete ?name ?from ?to
      WHERE {
        VALUES ?team { hs:ArgentinaNationalTeam }
        ?membership a hs:TeamMembership ;
                    hs:memberAthlete ?athlete ;
                    hs:membershipTeam ?team ;
                    hs:validFrom ?from .
        OPTIONAL { ?membership hs:validTo ?to }
        ?athlete rdfs:label ?name .
      }
      ORDER BY ?name</x:v>
      </x:c>
      <x:c r="H8" s="59" t="str">
        <x:v>通过</x:v>
      </x:c>
      <x:c r="I8" s="56" t="str">
        <x:v>阿根廷国家队 26 名成员</x:v>
      </x:c>
      <x:c r="J8" s="56" t="str">
        <x:v>查询结果同时返回成员关系的时间范围。</x:v>
      </x:c>
      <x:c r="K8" s="60" t="str">
        <x:v>特殊问题表 C4</x:v>
      </x:c>
    </x:row>
    <x:row r="9" ht="208" customHeight="1">
      <x:c r="A9" s="55" t="str">
        <x:v>S04</x:v>
      </x:c>
      <x:c r="B9" s="56" t="str">
        <x:v>Coaches / 教练</x:v>
      </x:c>
      <x:c r="C9" s="56" t="str">
        <x:v>某支队伍的教练是谁？</x:v>
      </x:c>
      <x:c r="D9" s="56" t="str">
        <x:v>Who is the coach of a particular team?</x:v>
      </x:c>
      <x:c r="E9" s="56" t="str">
        <x:v>示例：ArgentinaNationalTeam</x:v>
      </x:c>
      <x:c r="F9" s="57" t="str">
        <x:v>SPARQL SELECT</x:v>
      </x:c>
      <x:c r="G9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?coach ?name ?from ?to
      WHERE {
        VALUES ?team { hs:ArgentinaNationalTeam }
        ?assignment a hs:CoachingAssignment ;
                    hs:assignmentTeam ?team ;
                    hs:assignmentCoach ?coach ;
                    hs:validFrom ?from .
        OPTIONAL { ?assignment hs:validTo ?to }
        ?coach rdfs:label ?name .
      }</x:v>
      </x:c>
      <x:c r="H9" s="59" t="str">
        <x:v>通过</x:v>
      </x:c>
      <x:c r="I9" s="56" t="str">
        <x:v>Lionel Scaloni</x:v>
      </x:c>
      <x:c r="J9" s="56" t="str">
        <x:v>修改 VALUES 中的队伍 IRI 即可查询其他队伍。</x:v>
      </x:c>
      <x:c r="K9" s="60" t="str">
        <x:v>特殊问题表 C5</x:v>
      </x:c>
    </x:row>
    <x:row r="10" ht="169" customHeight="1">
      <x:c r="A10" s="55" t="str">
        <x:v>S05</x:v>
      </x:c>
      <x:c r="B10" s="56" t="str">
        <x:v>Competitions / 赛事</x:v>
      </x:c>
      <x:c r="C10" s="56" t="str">
        <x:v>哪些队伍参加了某一项赛事？</x:v>
      </x:c>
      <x:c r="D10" s="56" t="str">
        <x:v>Which teams participated in a particular competition?</x:v>
      </x:c>
      <x:c r="E10" s="56" t="str">
        <x:v>示例：FIFAWorldCup2022</x:v>
      </x:c>
      <x:c r="F10" s="57" t="str">
        <x:v>SPARQL SELECT</x:v>
      </x:c>
      <x:c r="G10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?team ?name
      WHERE {
        VALUES ?competition { hs:FIFAWorldCup2022 }
        ?team hs:competedIn ?competition ;
              rdfs:label ?name .
      }
      ORDER BY ?name</x:v>
      </x:c>
      <x:c r="H10" s="59" t="str">
        <x:v>通过</x:v>
      </x:c>
      <x:c r="I10" s="56" t="str">
        <x:v>已录入的 6 支参赛队</x:v>
      </x:c>
      <x:c r="J10" s="56" t="str">
        <x:v>结果是本体已录入队伍，不代表完整现实赛事名单。</x:v>
      </x:c>
      <x:c r="K10" s="60" t="str">
        <x:v>特殊问题表 C6</x:v>
      </x:c>
    </x:row>
    <x:row r="11" ht="169" customHeight="1">
      <x:c r="A11" s="55" t="str">
        <x:v>S06</x:v>
      </x:c>
      <x:c r="B11" s="56" t="str">
        <x:v>Competitions / 赛事</x:v>
      </x:c>
      <x:c r="C11" s="56" t="str">
        <x:v>某项赛事在哪里举办？</x:v>
      </x:c>
      <x:c r="D11" s="56" t="str">
        <x:v>Where was a particular competition held?</x:v>
      </x:c>
      <x:c r="E11" s="56" t="str">
        <x:v>示例：FIFAWorldCup2022</x:v>
      </x:c>
      <x:c r="F11" s="57" t="str">
        <x:v>SPARQL SELECT</x:v>
      </x:c>
      <x:c r="G11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DISTINCT ?venue ?name
      WHERE {
        VALUES ?competition { hs:FIFAWorldCup2022 }
        ?competition hs:hasRecordedVenue ?venue .
        ?venue rdfs:label ?name .
      }
      ORDER BY ?name</x:v>
      </x:c>
      <x:c r="H11" s="59" t="str">
        <x:v>通过</x:v>
      </x:c>
      <x:c r="I11" s="56" t="str">
        <x:v>Lusail Stadium、Khalifa International Stadium</x:v>
      </x:c>
      <x:c r="J11" s="56" t="str">
        <x:v>同一赛事可以返回多个已记录场馆。</x:v>
      </x:c>
      <x:c r="K11" s="60" t="str">
        <x:v>特殊问题表 C7</x:v>
      </x:c>
    </x:row>
    <x:row r="12" ht="338" customHeight="1">
      <x:c r="A12" s="55" t="str">
        <x:v>S07</x:v>
      </x:c>
      <x:c r="B12" s="56" t="str">
        <x:v>Matches / 比赛</x:v>
      </x:c>
      <x:c r="C12" s="56" t="str">
        <x:v>某一场比赛的比分是多少？</x:v>
      </x:c>
      <x:c r="D12" s="56" t="str">
        <x:v>What was the score of a specific match?</x:v>
      </x:c>
      <x:c r="E12" s="56" t="str">
        <x:v>示例：WorldCupFinal2022</x:v>
      </x:c>
      <x:c r="F12" s="57" t="str">
        <x:v>SPARQL SELECT</x:v>
      </x:c>
      <x:c r="G12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?homeTeamName ?awayTeamName
             ?homeScore ?awayScore
             ?penaltyHomeScore ?penaltyAwayScore
             ?resultType ?resultText
      WHERE {
        VALUES ?match { hs:WorldCupFinal2022 }
        ?match hs:homeTeam ?homeTeam ;
               hs:awayTeam ?awayTeam ;
               hs:homeScore ?homeScore ;
               hs:awayScore ?awayScore .
        OPTIONAL { ?homeTeam rdfs:label ?homeTeamName }
        OPTIONAL { ?awayTeam rdfs:label ?awayTeamName }
        OPTIONAL { ?match hs:penaltyHomeScore ?penaltyHomeScore }
        OPTIONAL { ?match hs:penaltyAwayScore ?penaltyAwayScore }
        OPTIONAL {
          ?match hs:hasResult ?result .
          ?result hs:resultType ?resultType ;
                  hs:resultText ?resultText .
        }
      }</x:v>
      </x:c>
      <x:c r="H12" s="59" t="str">
        <x:v>通过</x:v>
      </x:c>
      <x:c r="I12" s="56" t="str">
        <x:v>3:3；点球 4:2；penalty_shootout_win</x:v>
      </x:c>
      <x:c r="J12" s="56" t="str">
        <x:v>点球比分与常规比分分开记录。</x:v>
      </x:c>
      <x:c r="K12" s="60" t="str">
        <x:v>特殊问题表 C8</x:v>
      </x:c>
    </x:row>
    <x:row r="13" ht="182" customHeight="1">
      <x:c r="A13" s="55" t="str">
        <x:v>S08</x:v>
      </x:c>
      <x:c r="B13" s="56" t="str">
        <x:v>Leagues / 联盟</x:v>
      </x:c>
      <x:c r="C13" s="56" t="str">
        <x:v>哪些队伍属于某个指定的体育联盟？</x:v>
      </x:c>
      <x:c r="D13" s="56" t="str">
        <x:v>Which teams belong to a particular league?</x:v>
      </x:c>
      <x:c r="E13" s="56" t="str">
        <x:v>示例：NBA</x:v>
      </x:c>
      <x:c r="F13" s="57" t="str">
        <x:v>SPARQL SELECT</x:v>
      </x:c>
      <x:c r="G13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?team ?name ?founded
      WHERE {
        VALUES ?league { hs:NBA }
        ?league hs:hasTeam ?team .
        ?team rdfs:label ?name .
        OPTIONAL { ?team hs:establishYear ?founded }
      }
      ORDER BY ?name</x:v>
      </x:c>
      <x:c r="H13" s="59" t="str">
        <x:v>通过</x:v>
      </x:c>
      <x:c r="I13" s="56" t="str">
        <x:v>已录入 5 支 NBA 球队</x:v>
      </x:c>
      <x:c r="J13" s="56" t="str">
        <x:v>修改 VALUES 中的联盟 IRI 可查询 EPL、LaLiga 或 Ligue 1。</x:v>
      </x:c>
      <x:c r="K13" s="60" t="str">
        <x:v>特殊问题表 C9</x:v>
      </x:c>
    </x:row>
    <x:row r="14" ht="169" customHeight="1">
      <x:c r="A14" s="55" t="str">
        <x:v>S09</x:v>
      </x:c>
      <x:c r="B14" s="56" t="str">
        <x:v>Venues / 场馆</x:v>
      </x:c>
      <x:c r="C14" s="56" t="str">
        <x:v>哪些赛事在某个指定场馆举行？</x:v>
      </x:c>
      <x:c r="D14" s="56" t="str">
        <x:v>Which competitions take place at a particular venue?</x:v>
      </x:c>
      <x:c r="E14" s="56" t="str">
        <x:v>示例：LusailStadium</x:v>
      </x:c>
      <x:c r="F14" s="57" t="str">
        <x:v>SPARQL SELECT</x:v>
      </x:c>
      <x:c r="G14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DISTINCT ?competition ?name
      WHERE {
        VALUES ?venue { hs:LusailStadium }
        ?competition hs:hasRecordedVenue ?venue ;
                     rdfs:label ?name .
      }
      ORDER BY ?name</x:v>
      </x:c>
      <x:c r="H14" s="59" t="str">
        <x:v>通过</x:v>
      </x:c>
      <x:c r="I14" s="56" t="str">
        <x:v>FIFA World Cup 2022</x:v>
      </x:c>
      <x:c r="J14" s="56" t="str">
        <x:v>关系按“场馆—已记录赛事”解释，不表示完整场地清单。</x:v>
      </x:c>
      <x:c r="K14" s="60" t="str">
        <x:v>特殊问题表 C10</x:v>
      </x:c>
    </x:row>
    <x:row r="15" ht="169" customHeight="1">
      <x:c r="A15" s="55" t="str">
        <x:v>S10</x:v>
      </x:c>
      <x:c r="B15" s="56" t="str">
        <x:v>Equipment / 装备</x:v>
      </x:c>
      <x:c r="C15" s="56" t="str">
        <x:v>某项运动需要或使用哪些装备？</x:v>
      </x:c>
      <x:c r="D15" s="56" t="str">
        <x:v>What equipment is associated with a particular sport?</x:v>
      </x:c>
      <x:c r="E15" s="56" t="str">
        <x:v>示例：Football</x:v>
      </x:c>
      <x:c r="F15" s="57" t="str">
        <x:v>SPARQL SELECT</x:v>
      </x:c>
      <x:c r="G15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?equipment ?name
      WHERE {
        VALUES ?sport { hs:Football }
        ?sport hs:requires ?equipment .
        ?equipment rdfs:label ?name .
      }
      ORDER BY ?name</x:v>
      </x:c>
      <x:c r="H15" s="59" t="str">
        <x:v>通过</x:v>
      </x:c>
      <x:c r="I15" s="56" t="str">
        <x:v>Football Ball、Football Boots</x:v>
      </x:c>
      <x:c r="J15" s="56" t="str">
        <x:v>修改 VALUES 中的运动项目 IRI 可查询其他装备。</x:v>
      </x:c>
      <x:c r="K15" s="60" t="str">
        <x:v>特殊问题表 C11</x:v>
      </x:c>
    </x:row>
    <x:row r="16" ht="182" customHeight="1">
      <x:c r="A16" s="55" t="str">
        <x:v>S11</x:v>
      </x:c>
      <x:c r="B16" s="56" t="str">
        <x:v>Athlete records / 运动员记录</x:v>
      </x:c>
      <x:c r="C16" s="56" t="str">
        <x:v>某位运动员参加过哪些赛事？</x:v>
      </x:c>
      <x:c r="D16" s="56" t="str">
        <x:v>Which competitions has a particular athlete participated in?</x:v>
      </x:c>
      <x:c r="E16" s="56" t="str">
        <x:v>示例：Lionel Messi</x:v>
      </x:c>
      <x:c r="F16" s="57" t="str">
        <x:v>SPARQL SELECT</x:v>
      </x:c>
      <x:c r="G16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DISTINCT ?competition ?name ?year
      WHERE {
        VALUES ?athlete { hs:LionelMessi }
        ?athlete hs:participatedIn ?competition .
        ?competition rdfs:label ?name .
        OPTIONAL { ?competition hs:competitionYear ?year }
      }
      ORDER BY ?year ?name</x:v>
      </x:c>
      <x:c r="H16" s="59" t="str">
        <x:v>通过</x:v>
      </x:c>
      <x:c r="I16" s="56" t="str">
        <x:v>FIFA World Cup 2022</x:v>
      </x:c>
      <x:c r="J16" s="56" t="str">
        <x:v>修改 VALUES 中的运动员 IRI 可查询其他运动员。</x:v>
      </x:c>
      <x:c r="K16" s="60" t="str">
        <x:v>特殊问题表 C12</x:v>
      </x:c>
    </x:row>
    <x:row r="17" ht="182" customHeight="1">
      <x:c r="A17" s="55" t="str">
        <x:v>S12</x:v>
      </x:c>
      <x:c r="B17" s="56" t="str">
        <x:v>Team comparison / 队伍比较</x:v>
      </x:c>
      <x:c r="C17" s="56" t="str">
        <x:v>哪些队伍参加过同一项赛事？</x:v>
      </x:c>
      <x:c r="D17" s="56" t="str">
        <x:v>Which two teams have competed in the same competition?</x:v>
      </x:c>
      <x:c r="E17" s="56" t="str">
        <x:v>全部赛事</x:v>
      </x:c>
      <x:c r="F17" s="57" t="str">
        <x:v>SPARQL SELECT</x:v>
      </x:c>
      <x:c r="G17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?competition ?competitionName ?teamA ?teamB
      WHERE {
        ?teamA hs:competedIn ?competition .
        ?teamB hs:competedIn ?competition .
        FILTER(STR(?teamA) &lt; STR(?teamB))
        OPTIONAL { ?competition rdfs:label ?competitionName }
      }
      ORDER BY ?competitionName ?teamA ?teamB</x:v>
      </x:c>
      <x:c r="H17" s="59" t="str">
        <x:v>通过</x:v>
      </x:c>
      <x:c r="I17" s="56" t="str">
        <x:v>共 135 组同赛事队伍组合</x:v>
      </x:c>
      <x:c r="J17" s="56" t="str">
        <x:v>包含 FIFA World Cup 2022 与巴黎奥运男子足球赛事。</x:v>
      </x:c>
      <x:c r="K17" s="60" t="str">
        <x:v>特殊问题表 C13</x:v>
      </x:c>
    </x:row>
    <x:row r="18" ht="182" customHeight="1">
      <x:c r="A18" s="55" t="str">
        <x:v>S13</x:v>
      </x:c>
      <x:c r="B18" s="56" t="str">
        <x:v>Data validation / 数据校验</x:v>
      </x:c>
      <x:c r="C18" s="56" t="str">
        <x:v>运动员是否关联到本体中不存在的队伍？</x:v>
      </x:c>
      <x:c r="D18" s="56" t="str">
        <x:v>Is an athlete linked to a team that does not exist in the ontology?</x:v>
      </x:c>
      <x:c r="E18" s="56" t="str">
        <x:v>全部成员记录</x:v>
      </x:c>
      <x:c r="F18" s="57" t="str">
        <x:v>SPARQL 校验 + SHACL</x:v>
      </x:c>
      <x:c r="G18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?membership ?team
      WHERE {
        ?membership a hs:TeamMembership ;
                    hs:membershipTeam ?team .
        FILTER NOT EXISTS {
          ?team rdf:type/rdfs:subClassOf* hs:SportsTeam
        }
      }</x:v>
      </x:c>
      <x:c r="H18" s="59" t="str">
        <x:v>通过</x:v>
      </x:c>
      <x:c r="I18" s="56" t="str">
        <x:v>0 条无效队伍引用</x:v>
      </x:c>
      <x:c r="J18" s="56" t="str">
        <x:v>SHACL 同时对 membershipTeam 施加 SportsTeam 类型约束。</x:v>
      </x:c>
      <x:c r="K18" s="60" t="str">
        <x:v>特殊问题表 C14</x:v>
      </x:c>
    </x:row>
    <x:row r="19" ht="260" customHeight="1">
      <x:c r="A19" s="55" t="str">
        <x:v>S14</x:v>
      </x:c>
      <x:c r="B19" s="56" t="str">
        <x:v>Reasoning / 推理</x:v>
      </x:c>
      <x:c r="C19" s="56" t="str">
        <x:v>本体能否推断两名运动员是队友？</x:v>
      </x:c>
      <x:c r="D19" s="56" t="str">
        <x:v>Can the ontology infer that two athletes are teammates?</x:v>
      </x:c>
      <x:c r="E19" s="56" t="str">
        <x:v>示例：Lionel Messi</x:v>
      </x:c>
      <x:c r="F19" s="57" t="str">
        <x:v>SPARQL SELECT</x:v>
      </x:c>
      <x:c r="G19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DISTINCT ?teammate ?name ?team ?teamName
      WHERE {
        VALUES ?athlete { hs:LionelMessi }
        ?athlete hs:hasTeammate ?teammate .
        ?teammate rdfs:label ?name .
        ?m1 a hs:TeamMembership ;
            hs:memberAthlete ?athlete ;
            hs:membershipTeam ?team .
        ?m2 a hs:TeamMembership ;
            hs:memberAthlete ?teammate ;
            hs:membershipTeam ?team .
        OPTIONAL { ?team rdfs:label ?teamName }
      }
      ORDER BY ?name</x:v>
      </x:c>
      <x:c r="H19" s="59" t="str">
        <x:v>通过</x:v>
      </x:c>
      <x:c r="I19" s="56" t="str">
        <x:v>Lionel Messi 可查到 25 名队友</x:v>
      </x:c>
      <x:c r="J19" s="56" t="str">
        <x:v>hasTeammate 已物化，并要求两名运动员的成员时间区间重叠。</x:v>
      </x:c>
      <x:c r="K19" s="60" t="str">
        <x:v>特殊问题表 C15</x:v>
      </x:c>
    </x:row>
    <x:row r="20" ht="169" customHeight="1">
      <x:c r="A20" s="55" t="str">
        <x:v>S15</x:v>
      </x:c>
      <x:c r="B20" s="56" t="str">
        <x:v>Consistency / 一致性</x:v>
      </x:c>
      <x:c r="C20" s="56" t="str">
        <x:v>本体能否发现相互矛盾的体育信息？</x:v>
      </x:c>
      <x:c r="D20" s="56" t="str">
        <x:v>Can the ontology detect contradictory sports information?</x:v>
      </x:c>
      <x:c r="E20" s="56" t="str">
        <x:v>全部本体数据</x:v>
      </x:c>
      <x:c r="F20" s="57" t="str">
        <x:v>SPARQL + SHACL/OWL 推理</x:v>
      </x:c>
      <x:c r="G20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?subject ?property ?valueA ?valueB
      WHERE {
        ?property a owl:FunctionalProperty .
        ?subject ?property ?valueA, ?valueB .
        FILTER(STR(?valueA) &lt; STR(?valueB))
      }
      ORDER BY ?subject ?property</x:v>
      </x:c>
      <x:c r="H20" s="59" t="str">
        <x:v>通过</x:v>
      </x:c>
      <x:c r="I20" s="56" t="str">
        <x:v>0 条功能性属性冲突；SHACL 为 Conforms</x:v>
      </x:c>
      <x:c r="J20" s="56" t="str">
        <x:v>还需同时运行 SHACL，并在 Protégé 中启动 HermiT 检查类型和公理一致性。</x:v>
      </x:c>
      <x:c r="K20" s="60" t="str">
        <x:v>特殊问题表 C16</x:v>
      </x:c>
    </x:row>
  </x:sheetData>
  <x:conditionalFormatting sqref="H6:H20">
    <x:cfRule type="cellIs" dxfId="0" priority="1" operator="equal">
      <x:formula>通过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577f5f2a4148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42" hidden="0" customWidth="1"/>
    <x:col min="5" max="5" width="24" hidden="0" customWidth="1"/>
    <x:col min="6" max="6" width="22" hidden="0" customWidth="1"/>
    <x:col min="7" max="7" width="100" hidden="0" customWidth="1"/>
    <x:col min="8" max="8" width="11" hidden="0" customWidth="1"/>
    <x:col min="9" max="9" width="38" hidden="0" customWidth="1"/>
    <x:col min="10" max="10" width="38" hidden="0" customWidth="1"/>
    <x:col min="11" max="11" width="25" hidden="0" customWidth="1"/>
  </x:cols>
  <x:sheetData>
    <x:row r="2" ht="25" customHeight="1">
      <x:c r="A2" s="3" t="str">
        <x:v>10 个一般问题查询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0" customHeight="1">
      <x:c r="A3" s="5" t="str">
        <x:v>查询涵盖用户角色、信息检索、赛事、装备、队伍比较和推理能力。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30" customHeight="1">
      <x:c r="A5" s="54" t="str">
        <x:v>编号</x:v>
      </x:c>
      <x:c r="B5" s="54" t="str">
        <x:v>主题</x:v>
      </x:c>
      <x:c r="C5" s="54" t="str">
        <x:v>问题（中文）</x:v>
      </x:c>
      <x:c r="D5" s="54" t="str">
        <x:v>Question (English)</x:v>
      </x:c>
      <x:c r="E5" s="54" t="str">
        <x:v>参数 / 示例</x:v>
      </x:c>
      <x:c r="F5" s="54" t="str">
        <x:v>查询方式</x:v>
      </x:c>
      <x:c r="G5" s="54" t="str">
        <x:v>SPARQL 查询</x:v>
      </x:c>
      <x:c r="H5" s="54" t="str">
        <x:v>测试状态</x:v>
      </x:c>
      <x:c r="I5" s="54" t="str">
        <x:v>实测结果</x:v>
      </x:c>
      <x:c r="J5" s="54" t="str">
        <x:v>说明</x:v>
      </x:c>
      <x:c r="K5" s="54" t="str">
        <x:v>来源</x:v>
      </x:c>
    </x:row>
    <x:row r="6" ht="156" customHeight="1">
      <x:c r="A6" s="55" t="str">
        <x:v>G01</x:v>
      </x:c>
      <x:c r="B6" s="56" t="str">
        <x:v>Users / 使用者</x:v>
      </x:c>
      <x:c r="C6" s="56" t="str">
        <x:v>谁会使用这个体育本体？</x:v>
      </x:c>
      <x:c r="D6" s="56" t="str">
        <x:v>Who will use the Sports Ontology?</x:v>
      </x:c>
      <x:c r="E6" s="56" t="str">
        <x:v>全部用户角色</x:v>
      </x:c>
      <x:c r="F6" s="57" t="str">
        <x:v>SPARQL SELECT</x:v>
      </x:c>
      <x:c r="G6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DISTINCT ?role ?name
      WHERE {
        ?role rdf:type/rdfs:subClassOf* hsa:UserRole ;
              rdfs:label ?name .
      }
      ORDER BY ?name</x:v>
      </x:c>
      <x:c r="H6" s="59" t="str">
        <x:v>通过</x:v>
      </x:c>
      <x:c r="I6" s="56" t="str">
        <x:v>7 类：普通用户、体育迷、教练、运动员、分析师、研究人员、网站开发者</x:v>
      </x:c>
      <x:c r="J6" s="56" t="str">
        <x:v>返回的是用户角色，不是具体账号或个人。</x:v>
      </x:c>
      <x:c r="K6" s="60" t="str">
        <x:v>一般问题表 C2</x:v>
      </x:c>
    </x:row>
    <x:row r="7" ht="182" customHeight="1">
      <x:c r="A7" s="55" t="str">
        <x:v>G02</x:v>
      </x:c>
      <x:c r="B7" s="56" t="str">
        <x:v>Sports fans / 体育迷</x:v>
      </x:c>
      <x:c r="C7" s="56" t="str">
        <x:v>体育爱好者可以如何从这个本体中受益？</x:v>
      </x:c>
      <x:c r="D7" s="56" t="str">
        <x:v>How can sports fans benefit from this ontology?</x:v>
      </x:c>
      <x:c r="E7" s="56" t="str">
        <x:v>SportsFanRole</x:v>
      </x:c>
      <x:c r="F7" s="57" t="str">
        <x:v>SPARQL SELECT</x:v>
      </x:c>
      <x:c r="G7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?capability ?target ?targetName
      WHERE {
        VALUES ?capability {
          hsa:canAccess hsa:canQuery hsa:canSearch hsa:usesOntologyFor
        }
        hsa:SportsFanRole ?capability ?target .
        OPTIONAL { ?target rdfs:label ?targetName }
      }</x:v>
      </x:c>
      <x:c r="H7" s="59" t="str">
        <x:v>通过</x:v>
      </x:c>
      <x:c r="I7" s="56" t="str">
        <x:v>可访问本体、查询体育信息、查找关联信息</x:v>
      </x:c>
      <x:c r="J7" s="56" t="str">
        <x:v>能力是声明式模型，不是账号权限或已部署网站。</x:v>
      </x:c>
      <x:c r="K7" s="60" t="str">
        <x:v>一般问题表 C3</x:v>
      </x:c>
    </x:row>
    <x:row r="8" ht="182" customHeight="1">
      <x:c r="A8" s="55" t="str">
        <x:v>G03</x:v>
      </x:c>
      <x:c r="B8" s="56" t="str">
        <x:v>Coaches / 教练</x:v>
      </x:c>
      <x:c r="C8" s="56" t="str">
        <x:v>为什么教练会使用这个体育本体？</x:v>
      </x:c>
      <x:c r="D8" s="56" t="str">
        <x:v>Why would coaches use the Sports Ontology?</x:v>
      </x:c>
      <x:c r="E8" s="56" t="str">
        <x:v>CoachRole</x:v>
      </x:c>
      <x:c r="F8" s="57" t="str">
        <x:v>SPARQL SELECT</x:v>
      </x:c>
      <x:c r="G8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?capability ?target ?targetName
      WHERE {
        VALUES ?capability {
          hsa:canAccess hsa:canQuery hsa:canSearch hsa:usesOntologyFor
        }
        hsa:CoachRole ?capability ?target .
        OPTIONAL { ?target rdfs:label ?targetName }
      }</x:v>
      </x:c>
      <x:c r="H8" s="59" t="str">
        <x:v>通过</x:v>
      </x:c>
      <x:c r="I8" s="56" t="str">
        <x:v>可查询教练数据并用于执教准备</x:v>
      </x:c>
      <x:c r="J8" s="56" t="str">
        <x:v>教练使用角色与 Coach 领域类分别建模。</x:v>
      </x:c>
      <x:c r="K8" s="60" t="str">
        <x:v>一般问题表 C4</x:v>
      </x:c>
    </x:row>
    <x:row r="9" ht="182" customHeight="1">
      <x:c r="A9" s="55" t="str">
        <x:v>G04</x:v>
      </x:c>
      <x:c r="B9" s="56" t="str">
        <x:v>Sports analysts / 体育分析师</x:v>
      </x:c>
      <x:c r="C9" s="56" t="str">
        <x:v>体育分析师可以如何使用这个本体？</x:v>
      </x:c>
      <x:c r="D9" s="56" t="str">
        <x:v>How can sports analysts use this ontology?</x:v>
      </x:c>
      <x:c r="E9" s="56" t="str">
        <x:v>SportsAnalystRole</x:v>
      </x:c>
      <x:c r="F9" s="57" t="str">
        <x:v>SPARQL SELECT</x:v>
      </x:c>
      <x:c r="G9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?capability ?target ?targetName
      WHERE {
        VALUES ?capability {
          hsa:canAccess hsa:canQuery hsa:canAnalyze hsa:usesOntologyFor
        }
        hsa:SportsAnalystRole ?capability ?target .
        OPTIONAL { ?target rdfs:label ?targetName }
      }</x:v>
      </x:c>
      <x:c r="H9" s="59" t="str">
        <x:v>通过</x:v>
      </x:c>
      <x:c r="I9" s="56" t="str">
        <x:v>可分析队伍成员、比分、赛事记录和运动员参与数据</x:v>
      </x:c>
      <x:c r="J9" s="56" t="str">
        <x:v>可进一步使用 G09 的队伍比较查询。</x:v>
      </x:c>
      <x:c r="K9" s="60" t="str">
        <x:v>一般问题表 C5</x:v>
      </x:c>
    </x:row>
    <x:row r="10" ht="182" customHeight="1">
      <x:c r="A10" s="55" t="str">
        <x:v>G05</x:v>
      </x:c>
      <x:c r="B10" s="56" t="str">
        <x:v>Website developers / 网站开发者</x:v>
      </x:c>
      <x:c r="C10" s="56" t="str">
        <x:v>为什么体育网站开发者会使用这个本体？</x:v>
      </x:c>
      <x:c r="D10" s="56" t="str">
        <x:v>Why would sports website developers use this ontology?</x:v>
      </x:c>
      <x:c r="E10" s="56" t="str">
        <x:v>WebsiteDeveloperRole</x:v>
      </x:c>
      <x:c r="F10" s="57" t="str">
        <x:v>SPARQL SELECT</x:v>
      </x:c>
      <x:c r="G10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?capability ?target ?targetName
      WHERE {
        VALUES ?capability {
          hsa:canAccess hsa:canBuild hsa:usesOntologyFor
        }
        hsa:WebsiteDeveloperRole ?capability ?target .
        OPTIONAL { ?target rdfs:label ?targetName }
      }</x:v>
      </x:c>
      <x:c r="H10" s="59" t="str">
        <x:v>通过</x:v>
      </x:c>
      <x:c r="I10" s="56" t="str">
        <x:v>可构建连接运动员、队伍、教练、赛事、场馆和联盟的信息系统</x:v>
      </x:c>
      <x:c r="J10" s="56" t="str">
        <x:v>仅声明开发目标，不表示网站已部署。</x:v>
      </x:c>
      <x:c r="K10" s="60" t="str">
        <x:v>一般问题表 C6</x:v>
      </x:c>
    </x:row>
    <x:row r="11" ht="156" customHeight="1">
      <x:c r="A11" s="55" t="str">
        <x:v>G06</x:v>
      </x:c>
      <x:c r="B11" s="56" t="str">
        <x:v>Information retrieval / 信息检索</x:v>
      </x:c>
      <x:c r="C11" s="56" t="str">
        <x:v>用户可以通过这个本体搜索哪些信息？</x:v>
      </x:c>
      <x:c r="D11" s="56" t="str">
        <x:v>What information can users search for using this ontology?</x:v>
      </x:c>
      <x:c r="E11" s="56" t="str">
        <x:v>GeneralUserRole</x:v>
      </x:c>
      <x:c r="F11" s="57" t="str">
        <x:v>SPARQL SELECT</x:v>
      </x:c>
      <x:c r="G11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?information ?name
      WHERE {
        hsa:GeneralUserRole hsa:canSearch ?information .
        ?information rdfs:label ?name .
      }
      ORDER BY ?name</x:v>
      </x:c>
      <x:c r="H11" s="59" t="str">
        <x:v>通过</x:v>
      </x:c>
      <x:c r="I11" s="56" t="str">
        <x:v>赛事、体育数据、体育信息、队伍比较、装备共 5 类</x:v>
      </x:c>
      <x:c r="J11" s="56" t="str">
        <x:v>查询结果给出可检索主题，不代表所有现实记录均已录入。</x:v>
      </x:c>
      <x:c r="K11" s="60" t="str">
        <x:v>一般问题表 C7</x:v>
      </x:c>
    </x:row>
    <x:row r="12" ht="390" customHeight="1">
      <x:c r="A12" s="55" t="str">
        <x:v>G07</x:v>
      </x:c>
      <x:c r="B12" s="56" t="str">
        <x:v>Competitions / 赛事</x:v>
      </x:c>
      <x:c r="C12" s="56" t="str">
        <x:v>这个本体可以帮助用户查找赛事信息吗？</x:v>
      </x:c>
      <x:c r="D12" s="56" t="str">
        <x:v>Can this ontology help users find information about competitions?</x:v>
      </x:c>
      <x:c r="E12" s="56" t="str">
        <x:v>全部赛事</x:v>
      </x:c>
      <x:c r="F12" s="57" t="str">
        <x:v>SPARQL SELECT</x:v>
      </x:c>
      <x:c r="G12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?competition ?name ?year
             (GROUP_CONCAT(DISTINCT STR(?venueName); separator=", ") AS ?venues)
             (GROUP_CONCAT(DISTINCT STR(?teamName); separator=", ") AS ?teams)
             (GROUP_CONCAT(DISTINCT STR(?athleteName); separator=", ") AS ?athletes)
             (COUNT(DISTINCT ?match) AS ?matchCount)
      WHERE {
        ?competition rdf:type/rdfs:subClassOf* hs:Competition ;
                     rdfs:label ?name .
        OPTIONAL { ?competition hs:competitionYear ?year }
        OPTIONAL {
          ?competition hs:hasRecordedVenue ?venue .
          ?venue rdfs:label ?venueName .
        }
        OPTIONAL {
          ?team hs:competedIn ?competition ;
                rdfs:label ?teamName .
        }
        OPTIONAL {
          ?participation hs:participationCompetition ?competition ;
                         hs:participationAthlete ?athlete .
          ?athlete rdfs:label ?athleteName .
        }
        OPTIONAL { ?match hs:inCompetition ?competition }
      }
      GROUP BY ?competition ?name ?year
      ORDER BY ?year ?name</x:v>
      </x:c>
      <x:c r="H12" s="59" t="str">
        <x:v>通过</x:v>
      </x:c>
      <x:c r="I12" s="56" t="str">
        <x:v>返回 8 个赛事及其年份、场馆、队伍、运动员和比赛覆盖</x:v>
      </x:c>
      <x:c r="J12" s="56" t="str">
        <x:v>参加运动员与比赛结果仅在对应数据已录入时返回。</x:v>
      </x:c>
      <x:c r="K12" s="60" t="str">
        <x:v>一般问题表 C8</x:v>
      </x:c>
    </x:row>
    <x:row r="13" ht="182" customHeight="1">
      <x:c r="A13" s="55" t="str">
        <x:v>G08</x:v>
      </x:c>
      <x:c r="B13" s="56" t="str">
        <x:v>Equipment / 装备</x:v>
      </x:c>
      <x:c r="C13" s="56" t="str">
        <x:v>这个本体可以帮助用户查找运动装备吗？</x:v>
      </x:c>
      <x:c r="D13" s="56" t="str">
        <x:v>Can this ontology help users find sports equipment?</x:v>
      </x:c>
      <x:c r="E13" s="56" t="str">
        <x:v>示例：Football、Tennis</x:v>
      </x:c>
      <x:c r="F13" s="57" t="str">
        <x:v>SPARQL SELECT</x:v>
      </x:c>
      <x:c r="G13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?sport ?sportName ?equipment ?equipmentName
      WHERE {
        VALUES ?sport { hs:Football hs:Tennis }
        ?sport hs:requires ?equipment .
        OPTIONAL { ?sport rdfs:label ?sportName }
        OPTIONAL { ?equipment rdfs:label ?equipmentName }
      }
      ORDER BY ?sportName ?equipmentName</x:v>
      </x:c>
      <x:c r="H13" s="59" t="str">
        <x:v>通过</x:v>
      </x:c>
      <x:c r="I13" s="56" t="str">
        <x:v>足球：球、球鞋；网球：球拍、球</x:v>
      </x:c>
      <x:c r="J13" s="56" t="str">
        <x:v>可修改 VALUES 查询其他运动项目。</x:v>
      </x:c>
      <x:c r="K13" s="60" t="str">
        <x:v>一般问题表 C9</x:v>
      </x:c>
    </x:row>
    <x:row r="14" ht="390" customHeight="1">
      <x:c r="A14" s="55" t="str">
        <x:v>G09</x:v>
      </x:c>
      <x:c r="B14" s="56" t="str">
        <x:v>Team comparison / 队伍比较</x:v>
      </x:c>
      <x:c r="C14" s="56" t="str">
        <x:v>这个本体如何帮助用户比较不同的运动队？</x:v>
      </x:c>
      <x:c r="D14" s="56" t="str">
        <x:v>How can this ontology help users compare sports teams?</x:v>
      </x:c>
      <x:c r="E14" s="56" t="str">
        <x:v>全部队伍</x:v>
      </x:c>
      <x:c r="F14" s="57" t="str">
        <x:v>SPARQL SELECT</x:v>
      </x:c>
      <x:c r="G14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?team ?name ?founded ?leagueName ?members ?coaches ?titles
      WHERE {
        ?team rdf:type/rdfs:subClassOf* hs:SportsTeam ;
              rdfs:label ?name .
        OPTIONAL { ?team hs:establishYear ?founded }
        OPTIONAL {
          ?team hs:inLeague ?league .
          ?league rdfs:label ?leagueName .
        }
        OPTIONAL {
          SELECT ?team (COUNT(DISTINCT ?athlete) AS ?members)
          WHERE {
            ?membership a hs:TeamMembership ;
                        hs:membershipTeam ?team ;
                        hs:memberAthlete ?athlete .
          }
          GROUP BY ?team
        }
        OPTIONAL {
          SELECT ?team (COUNT(DISTINCT ?coach) AS ?coaches)
          WHERE {
            ?assignment a hs:CoachingAssignment ;
                        hs:assignmentTeam ?team ;
                        hs:assignmentCoach ?coach .
          }
          GROUP BY ?team
        }
        OPTIONAL { ?team hs:fifaMensWorldCupTitles ?titles }
      }
      ORDER BY ?name</x:v>
      </x:c>
      <x:c r="H14" s="59" t="str">
        <x:v>通过</x:v>
      </x:c>
      <x:c r="I14" s="56" t="str">
        <x:v>返回 36 支队伍；字段为空表示该队未录入该项，不代表现实值为零</x:v>
      </x:c>
      <x:c r="J14" s="56" t="str">
        <x:v>已录入比较字段：成员、教练、联盟、成立年份和男足世界杯冠军数。</x:v>
      </x:c>
      <x:c r="K14" s="60" t="str">
        <x:v>一般问题表 C10</x:v>
      </x:c>
    </x:row>
    <x:row r="15" ht="182" customHeight="1">
      <x:c r="A15" s="55" t="str">
        <x:v>G10</x:v>
      </x:c>
      <x:c r="B15" s="56" t="str">
        <x:v>Reasoning / 推理</x:v>
      </x:c>
      <x:c r="C15" s="56" t="str">
        <x:v>推理功能如何提升这个本体的使用价值？</x:v>
      </x:c>
      <x:c r="D15" s="56" t="str">
        <x:v>How can reasoning improve the use of this ontology?</x:v>
      </x:c>
      <x:c r="E15" s="56" t="str">
        <x:v>全部运动员</x:v>
      </x:c>
      <x:c r="F15" s="57" t="str">
        <x:v>SPARQL + OWL 推理</x:v>
      </x:c>
      <x:c r="G15" s="58" t="str">
        <x:v>PREFIX hs: &lt;urn:hopfield:sports:domain#&gt;
PREFIX hsa: &lt;urn:hopfield:sports:application#&gt;
PREFIX rdf: &lt;http://www.w3.org/1999/02/22-rdf-syntax-ns#&gt;
PREFIX rdfs: &lt;http://www.w3.org/2000/01/rdf-schema#&gt;
PREFIX owl: &lt;http://www.w3.org/2002/07/owl#&gt;
SELECT ?athlete ?name (COUNT(DISTINCT ?teammate) AS ?teammateCount)
      WHERE {
        ?athlete a hs:Athlete ;
                 rdfs:label ?name ;
                 hs:hasTeammate ?teammate .
      }
      GROUP BY ?athlete ?name
      ORDER BY DESC(?teammateCount) ?name</x:v>
      </x:c>
      <x:c r="H15" s="59" t="str">
        <x:v>通过</x:v>
      </x:c>
      <x:c r="I15" s="56" t="str">
        <x:v>可推出并查询队友关系；当前最大结果是阿根廷队成员</x:v>
      </x:c>
      <x:c r="J15" s="56" t="str">
        <x:v>启用 OWL 推理器还可检查类层次、逆属性和等价属性一致性。</x:v>
      </x:c>
      <x:c r="K15" s="60" t="str">
        <x:v>一般问题表 C11</x:v>
      </x:c>
    </x:row>
  </x:sheetData>
  <x:conditionalFormatting sqref="H6:H15">
    <x:cfRule type="cellIs" dxfId="1" priority="1" operator="equal">
      <x:formula>通过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c864de6ad24103"/>
  </x:tableParts>
</x:worksheet>
</file>